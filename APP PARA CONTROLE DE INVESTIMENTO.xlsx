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Documents\PROJETOS EXCEL\"/>
    </mc:Choice>
  </mc:AlternateContent>
  <xr:revisionPtr revIDLastSave="0" documentId="13_ncr:1_{7B813C39-72FB-489D-9EE3-30C8A1200B1D}" xr6:coauthVersionLast="47" xr6:coauthVersionMax="47" xr10:uidLastSave="{00000000-0000-0000-0000-000000000000}"/>
  <bookViews>
    <workbookView xWindow="-120" yWindow="-120" windowWidth="20730" windowHeight="11160" tabRatio="881" xr2:uid="{5214C120-477C-4A2F-94F3-BD874F241A52}"/>
  </bookViews>
  <sheets>
    <sheet name="APP CONTROLE FINANCEIRO" sheetId="1" r:id="rId1"/>
    <sheet name="PLANILHA APOIO" sheetId="2" r:id="rId2"/>
  </sheets>
  <definedNames>
    <definedName name="Aporte">'APP CONTROLE FINANCEIRO'!$D$16</definedName>
    <definedName name="dividendo_mesal">'APP CONTROLE FINANCEIRO'!$D$20</definedName>
    <definedName name="patrimonio">'APP CONTROLE FINANCEIRO'!$D$19</definedName>
    <definedName name="quantidade_anos">'APP CONTROLE FINANCEIRO'!$D$17</definedName>
    <definedName name="rendimento_carteira">'APP CONTROLE FINANCEIRO'!$D$12</definedName>
    <definedName name="salario">'APP CONTROLE FINANCEIRO'!$D$11</definedName>
    <definedName name="sugestao_investimento">'APP CONTROLE FINANCEIRO'!$D$13</definedName>
    <definedName name="taxa_mensal">'APP CONTROLE FINANCEIRO'!$D$18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7" i="1"/>
  <c r="C38" i="1"/>
  <c r="D38" i="1" s="1"/>
  <c r="C39" i="1"/>
  <c r="D39" i="1" s="1"/>
  <c r="C40" i="1"/>
  <c r="D40" i="1" s="1"/>
  <c r="C35" i="1"/>
  <c r="H3" i="2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D37" i="1"/>
  <c r="C32" i="1"/>
  <c r="D19" i="1"/>
  <c r="D20" i="1" s="1"/>
  <c r="D13" i="1"/>
  <c r="C23" i="1"/>
  <c r="D23" i="1" s="1"/>
  <c r="C27" i="1"/>
  <c r="D27" i="1" s="1"/>
  <c r="C24" i="1"/>
  <c r="D24" i="1" s="1"/>
  <c r="C25" i="1"/>
  <c r="D25" i="1" s="1"/>
  <c r="C26" i="1"/>
  <c r="D26" i="1" s="1"/>
  <c r="D36" i="1" l="1"/>
  <c r="D35" i="1"/>
  <c r="D41" i="1" l="1"/>
</calcChain>
</file>

<file path=xl/sharedStrings.xml><?xml version="1.0" encoding="utf-8"?>
<sst xmlns="http://schemas.openxmlformats.org/spreadsheetml/2006/main" count="71" uniqueCount="34">
  <si>
    <t>INVESTIMENTO MENSAL</t>
  </si>
  <si>
    <t>Quanto investir?</t>
  </si>
  <si>
    <t>Por quantos anos?</t>
  </si>
  <si>
    <t>Dividendos mensais?</t>
  </si>
  <si>
    <t>Taxa de rendimento?</t>
  </si>
  <si>
    <t>CENÁRIOS</t>
  </si>
  <si>
    <t>Quanto em 20 anos?</t>
  </si>
  <si>
    <t>Quanto em 2 anos?</t>
  </si>
  <si>
    <t>Quanto em 5 anos?</t>
  </si>
  <si>
    <t>Quanto em 10 anos?</t>
  </si>
  <si>
    <t>Quanto em 30 anos?</t>
  </si>
  <si>
    <t>Dividendo</t>
  </si>
  <si>
    <t>CONFIGURAÇÕES</t>
  </si>
  <si>
    <t>Salário</t>
  </si>
  <si>
    <t>Rendimento Carteira</t>
  </si>
  <si>
    <t>Sugestão de investimento</t>
  </si>
  <si>
    <t>Patrimônio acumulado?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</si>
  <si>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</si>
  <si>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</si>
  <si>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</si>
  <si>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</si>
  <si>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</si>
  <si>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</si>
  <si>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</si>
  <si>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</si>
  <si>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</si>
  <si>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HOTELARIAS</t>
  </si>
  <si>
    <t>PERFIL</t>
  </si>
  <si>
    <t>%</t>
  </si>
  <si>
    <t>CHAVE</t>
  </si>
  <si>
    <t>Conservador</t>
  </si>
  <si>
    <t>Moderado</t>
  </si>
  <si>
    <t>Agressivo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</si>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</sst>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5" tint="-0.24994659260841701"/>
      </left>
      <right style="thin">
        <color theme="5" tint="0.39994506668294322"/>
      </right>
      <top style="thick">
        <color theme="5" tint="-0.24994659260841701"/>
      </top>
      <bottom style="thin">
        <color theme="5" tint="0.39994506668294322"/>
      </bottom>
      <diagonal/>
    </border>
    <border>
      <left style="thin">
        <color theme="5" tint="0.39994506668294322"/>
      </left>
      <right style="thick">
        <color theme="5" tint="-0.24994659260841701"/>
      </right>
      <top style="thick">
        <color theme="5" tint="-0.24994659260841701"/>
      </top>
      <bottom style="thin">
        <color theme="5" tint="0.39994506668294322"/>
      </bottom>
      <diagonal/>
    </border>
    <border>
      <left style="thick">
        <color theme="5" tint="-0.24994659260841701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ck">
        <color theme="5" tint="-0.24994659260841701"/>
      </right>
      <top style="thin">
        <color theme="5" tint="0.39994506668294322"/>
      </top>
      <bottom style="thin">
        <color theme="5" tint="0.39994506668294322"/>
      </bottom>
      <diagonal/>
    </border>
    <border>
      <left style="thick">
        <color theme="5" tint="-0.24994659260841701"/>
      </left>
      <right style="thin">
        <color theme="5" tint="0.39994506668294322"/>
      </right>
      <top style="thin">
        <color theme="5" tint="0.39994506668294322"/>
      </top>
      <bottom style="thick">
        <color theme="5" tint="-0.24994659260841701"/>
      </bottom>
      <diagonal/>
    </border>
    <border>
      <left style="thin">
        <color theme="5" tint="0.39994506668294322"/>
      </left>
      <right style="thick">
        <color theme="5" tint="-0.24994659260841701"/>
      </right>
      <top style="thin">
        <color theme="5" tint="0.39994506668294322"/>
      </top>
      <bottom style="thick">
        <color theme="5" tint="-0.24994659260841701"/>
      </bottom>
      <diagonal/>
    </border>
    <border>
      <left style="thin">
        <color theme="5" tint="0.39994506668294322"/>
      </left>
      <right style="thin">
        <color theme="5" tint="0.39994506668294322"/>
      </right>
      <top style="thick">
        <color theme="5" tint="-0.24994659260841701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ck">
        <color theme="5" tint="-0.2499465926084170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3" tint="9.9948118533890809E-2"/>
      </left>
      <right style="thin">
        <color theme="1" tint="0.34998626667073579"/>
      </right>
      <top style="thick">
        <color theme="3" tint="9.9948118533890809E-2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ck">
        <color theme="3" tint="9.9948118533890809E-2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3" tint="9.9948118533890809E-2"/>
      </right>
      <top style="thick">
        <color theme="3" tint="9.9948118533890809E-2"/>
      </top>
      <bottom style="thin">
        <color theme="1" tint="0.34998626667073579"/>
      </bottom>
      <diagonal/>
    </border>
    <border>
      <left style="thick">
        <color theme="3" tint="9.9948118533890809E-2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3" tint="9.9948118533890809E-2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3" tint="9.9948118533890809E-2"/>
      </left>
      <right style="thin">
        <color theme="1" tint="0.34998626667073579"/>
      </right>
      <top style="thin">
        <color theme="1" tint="0.34998626667073579"/>
      </top>
      <bottom style="thick">
        <color theme="3" tint="9.9948118533890809E-2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3" tint="9.9948118533890809E-2"/>
      </bottom>
      <diagonal/>
    </border>
    <border>
      <left style="thin">
        <color theme="1" tint="0.34998626667073579"/>
      </left>
      <right style="thick">
        <color theme="3" tint="9.9948118533890809E-2"/>
      </right>
      <top style="thin">
        <color theme="1" tint="0.34998626667073579"/>
      </top>
      <bottom style="thick">
        <color theme="3" tint="9.9948118533890809E-2"/>
      </bottom>
      <diagonal/>
    </border>
    <border>
      <left style="thick">
        <color theme="4" tint="-0.24994659260841701"/>
      </left>
      <right style="thin">
        <color theme="4" tint="-0.24994659260841701"/>
      </right>
      <top style="thick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ck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ck">
        <color theme="4" tint="-0.24994659260841701"/>
      </right>
      <top style="thick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ck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ck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ck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ck">
        <color theme="4" tint="-0.24994659260841701"/>
      </bottom>
      <diagonal/>
    </border>
    <border>
      <left style="thin">
        <color theme="4" tint="-0.24994659260841701"/>
      </left>
      <right style="thick">
        <color theme="4" tint="-0.24994659260841701"/>
      </right>
      <top style="thin">
        <color theme="4" tint="-0.24994659260841701"/>
      </top>
      <bottom style="thick">
        <color theme="4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66" fontId="0" fillId="0" borderId="0" xfId="0" applyNumberFormat="1"/>
    <xf numFmtId="166" fontId="0" fillId="0" borderId="6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6" borderId="2" xfId="1" applyNumberFormat="1" applyFont="1" applyFill="1" applyBorder="1" applyAlignment="1">
      <alignment horizontal="center"/>
    </xf>
    <xf numFmtId="0" fontId="9" fillId="5" borderId="4" xfId="0" applyFont="1" applyFill="1" applyBorder="1" applyAlignment="1"/>
    <xf numFmtId="0" fontId="0" fillId="0" borderId="0" xfId="0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 indent="3"/>
    </xf>
    <xf numFmtId="0" fontId="7" fillId="6" borderId="5" xfId="0" applyFont="1" applyFill="1" applyBorder="1" applyAlignment="1">
      <alignment horizontal="left" indent="3"/>
    </xf>
    <xf numFmtId="0" fontId="7" fillId="6" borderId="10" xfId="0" applyFont="1" applyFill="1" applyBorder="1" applyAlignment="1">
      <alignment horizontal="left" indent="3"/>
    </xf>
    <xf numFmtId="0" fontId="7" fillId="6" borderId="7" xfId="0" applyFont="1" applyFill="1" applyBorder="1" applyAlignment="1">
      <alignment horizontal="left" indent="3"/>
    </xf>
    <xf numFmtId="0" fontId="7" fillId="6" borderId="11" xfId="0" applyFont="1" applyFill="1" applyBorder="1" applyAlignment="1">
      <alignment horizontal="left" indent="3"/>
    </xf>
    <xf numFmtId="0" fontId="11" fillId="5" borderId="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left" indent="3"/>
    </xf>
    <xf numFmtId="0" fontId="10" fillId="6" borderId="12" xfId="0" applyFont="1" applyFill="1" applyBorder="1" applyAlignment="1">
      <alignment horizontal="left" indent="3"/>
    </xf>
    <xf numFmtId="0" fontId="2" fillId="2" borderId="0" xfId="3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0" fillId="7" borderId="0" xfId="0" applyFill="1"/>
    <xf numFmtId="0" fontId="0" fillId="8" borderId="0" xfId="0" applyFill="1"/>
    <xf numFmtId="0" fontId="2" fillId="2" borderId="0" xfId="3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 indent="3"/>
    </xf>
    <xf numFmtId="166" fontId="8" fillId="0" borderId="17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10" fontId="8" fillId="0" borderId="17" xfId="2" applyNumberFormat="1" applyFont="1" applyBorder="1" applyAlignment="1">
      <alignment horizontal="center"/>
    </xf>
    <xf numFmtId="0" fontId="10" fillId="6" borderId="16" xfId="0" applyFont="1" applyFill="1" applyBorder="1" applyAlignment="1">
      <alignment horizontal="left" indent="3"/>
    </xf>
    <xf numFmtId="8" fontId="8" fillId="3" borderId="17" xfId="0" applyNumberFormat="1" applyFont="1" applyFill="1" applyBorder="1" applyAlignment="1">
      <alignment horizontal="center"/>
    </xf>
    <xf numFmtId="0" fontId="10" fillId="6" borderId="18" xfId="0" applyFont="1" applyFill="1" applyBorder="1" applyAlignment="1">
      <alignment horizontal="left" indent="3"/>
    </xf>
    <xf numFmtId="0" fontId="10" fillId="6" borderId="19" xfId="0" applyFont="1" applyFill="1" applyBorder="1" applyAlignment="1">
      <alignment horizontal="left" indent="3"/>
    </xf>
    <xf numFmtId="8" fontId="8" fillId="3" borderId="20" xfId="0" applyNumberFormat="1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5" fillId="4" borderId="23" xfId="0" applyFont="1" applyFill="1" applyBorder="1"/>
    <xf numFmtId="0" fontId="7" fillId="6" borderId="24" xfId="0" applyFont="1" applyFill="1" applyBorder="1" applyAlignment="1">
      <alignment horizontal="left" indent="3"/>
    </xf>
    <xf numFmtId="166" fontId="0" fillId="6" borderId="25" xfId="1" applyNumberFormat="1" applyFont="1" applyFill="1" applyBorder="1" applyAlignment="1">
      <alignment horizontal="center"/>
    </xf>
    <xf numFmtId="0" fontId="7" fillId="6" borderId="26" xfId="0" applyFont="1" applyFill="1" applyBorder="1" applyAlignment="1">
      <alignment horizontal="left" indent="3"/>
    </xf>
    <xf numFmtId="166" fontId="0" fillId="6" borderId="27" xfId="1" applyNumberFormat="1" applyFont="1" applyFill="1" applyBorder="1" applyAlignment="1">
      <alignment horizontal="center"/>
    </xf>
    <xf numFmtId="166" fontId="0" fillId="6" borderId="28" xfId="1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2" fillId="2" borderId="0" xfId="3" applyNumberFormat="1"/>
    <xf numFmtId="9" fontId="0" fillId="0" borderId="1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2" fillId="2" borderId="0" xfId="3" applyAlignment="1"/>
    <xf numFmtId="0" fontId="3" fillId="6" borderId="0" xfId="0" applyFont="1" applyFill="1" applyAlignment="1"/>
    <xf numFmtId="166" fontId="3" fillId="6" borderId="0" xfId="0" applyNumberFormat="1" applyFont="1" applyFill="1" applyAlignment="1">
      <alignment horizontal="center"/>
    </xf>
    <xf numFmtId="0" fontId="0" fillId="0" borderId="0" xfId="0" applyFill="1" applyBorder="1"/>
    <xf numFmtId="9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66" fontId="0" fillId="7" borderId="0" xfId="0" applyNumberFormat="1" applyFill="1"/>
    <xf numFmtId="0" fontId="4" fillId="9" borderId="0" xfId="0" applyFont="1" applyFill="1" applyBorder="1"/>
    <xf numFmtId="0" fontId="4" fillId="9" borderId="0" xfId="0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'APP CONTROLE FINANCEIRO'!$B$35:$B$40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'APP CONTROLE FINANCEIRO'!$C$35:$C$40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2-41A8-B997-7E32C7D74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28574</xdr:colOff>
      <xdr:row>0</xdr:row>
      <xdr:rowOff>57151</xdr:rowOff>
    </xdr:from>
    <xdr:to>
      <xdr:col>4</xdr:col>
      <xdr:colOff>47624</xdr:colOff>
      <xdr:row>7</xdr:row>
      <xdr:rowOff>38100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4A7DE9C-5A77-F2E6-079B-B2ED052EE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299" y="57151"/>
          <a:ext cx="7362825" cy="1314449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>
    <xdr:from>
      <xdr:col>1</xdr:col>
      <xdr:colOff>1038225</xdr:colOff>
      <xdr:row>42</xdr:row>
      <xdr:rowOff>138112</xdr:rowOff>
    </xdr:from>
    <xdr:to>
      <xdr:col>2</xdr:col>
      <xdr:colOff>3095625</xdr:colOff>
      <xdr:row>57</xdr:row>
      <xdr:rowOff>23812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B905B51-7FBE-D23B-6BC5-0A4F84C57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FF85-D57B-46C9-A9CC-1BF0C56E590F}">
  <dimension ref="A3:F67"/>
  <sheetViews>
    <sheetView showGridLines="0" tabSelected="1" zoomScale="85" zoomScaleNormal="85" workbookViewId="0">
      <selection activeCell="A2" sqref="A2"/>
    </sheetView>
  </sheetViews>
  <sheetFormatPr defaultColWidth="0" defaultRowHeight="15" x14ac:dyDescent="0.25"/>
  <cols>
    <col min="1" max="1" width="12.7109375" customWidth="1"/>
    <col min="2" max="2" width="37.7109375" customWidth="1"/>
    <col min="3" max="3" width="53.140625" customWidth="1"/>
    <col min="4" max="4" width="19.28515625" customWidth="1"/>
    <col min="5" max="5" width="10.5703125" customWidth="1"/>
    <col min="6" max="6" width="10.7109375" hidden="1" customWidth="1"/>
    <col min="7" max="10" width="9.140625" hidden="1" customWidth="1"/>
    <col min="11" max="16384" width="9.140625" hidden="1"/>
  </cols>
  <sheetData>
    <row r="3" spans="1:6" x14ac:dyDescent="0.25">
      <c r="F3" s="10"/>
    </row>
    <row r="9" spans="1:6" ht="15.75" thickBot="1" x14ac:dyDescent="0.3"/>
    <row r="10" spans="1:6" ht="33.75" customHeight="1" thickTop="1" x14ac:dyDescent="0.4">
      <c r="B10" s="16" t="s">
        <v>12</v>
      </c>
      <c r="C10" s="17"/>
      <c r="D10" s="8"/>
    </row>
    <row r="11" spans="1:6" ht="15.75" x14ac:dyDescent="0.25">
      <c r="B11" s="12" t="s">
        <v>13</v>
      </c>
      <c r="C11" s="13"/>
      <c r="D11" s="4">
        <v>5000</v>
      </c>
    </row>
    <row r="12" spans="1:6" ht="15.75" x14ac:dyDescent="0.25">
      <c r="B12" s="12" t="s">
        <v>14</v>
      </c>
      <c r="C12" s="13"/>
      <c r="D12" s="5">
        <v>6.0000000000000001E-3</v>
      </c>
    </row>
    <row r="13" spans="1:6" ht="16.5" thickBot="1" x14ac:dyDescent="0.3">
      <c r="B13" s="14" t="s">
        <v>15</v>
      </c>
      <c r="C13" s="15"/>
      <c r="D13" s="6">
        <f>D11*30%</f>
        <v>1500</v>
      </c>
    </row>
    <row r="14" spans="1:6" ht="16.5" thickTop="1" thickBot="1" x14ac:dyDescent="0.3"/>
    <row r="15" spans="1:6" ht="27" thickTop="1" x14ac:dyDescent="0.4">
      <c r="A15" s="2">
        <v>2</v>
      </c>
      <c r="B15" s="26" t="s">
        <v>0</v>
      </c>
      <c r="C15" s="27"/>
      <c r="D15" s="28"/>
    </row>
    <row r="16" spans="1:6" ht="18.75" x14ac:dyDescent="0.3">
      <c r="A16" s="2">
        <v>5</v>
      </c>
      <c r="B16" s="29" t="s">
        <v>1</v>
      </c>
      <c r="C16" s="18"/>
      <c r="D16" s="30">
        <v>1260</v>
      </c>
    </row>
    <row r="17" spans="1:4" ht="18.75" x14ac:dyDescent="0.3">
      <c r="A17" s="11">
        <v>10</v>
      </c>
      <c r="B17" s="29" t="s">
        <v>2</v>
      </c>
      <c r="C17" s="18"/>
      <c r="D17" s="31">
        <v>10</v>
      </c>
    </row>
    <row r="18" spans="1:4" ht="18.75" x14ac:dyDescent="0.3">
      <c r="A18" s="2">
        <v>20</v>
      </c>
      <c r="B18" s="29" t="s">
        <v>4</v>
      </c>
      <c r="C18" s="18"/>
      <c r="D18" s="32">
        <v>1.0789999999999999E-2</v>
      </c>
    </row>
    <row r="19" spans="1:4" ht="18.75" x14ac:dyDescent="0.3">
      <c r="A19" s="2">
        <v>30</v>
      </c>
      <c r="B19" s="33" t="s">
        <v>16</v>
      </c>
      <c r="C19" s="19"/>
      <c r="D19" s="34">
        <f>FV(taxa_mensal,quantidade_anos*12,Aporte*-1)</f>
        <v>306538.10778801696</v>
      </c>
    </row>
    <row r="20" spans="1:4" ht="19.5" thickBot="1" x14ac:dyDescent="0.35">
      <c r="B20" s="35" t="s">
        <v>3</v>
      </c>
      <c r="C20" s="36"/>
      <c r="D20" s="37">
        <f>D19*$D$12</f>
        <v>1839.2286467281017</v>
      </c>
    </row>
    <row r="21" spans="1:4" ht="16.5" thickTop="1" thickBot="1" x14ac:dyDescent="0.3"/>
    <row r="22" spans="1:4" ht="27" thickTop="1" x14ac:dyDescent="0.4">
      <c r="B22" s="38" t="s">
        <v>5</v>
      </c>
      <c r="C22" s="39"/>
      <c r="D22" s="40" t="s">
        <v>11</v>
      </c>
    </row>
    <row r="23" spans="1:4" ht="15.75" x14ac:dyDescent="0.25">
      <c r="B23" s="41" t="s">
        <v>7</v>
      </c>
      <c r="C23" s="7">
        <f>FV($D$18,$A15*12,$D$16*-1)</f>
        <v>34306.810395032975</v>
      </c>
      <c r="D23" s="42">
        <f>C23*rendimento_carteira</f>
        <v>205.84086237019787</v>
      </c>
    </row>
    <row r="24" spans="1:4" ht="15.75" x14ac:dyDescent="0.25">
      <c r="B24" s="41" t="s">
        <v>8</v>
      </c>
      <c r="C24" s="7">
        <f>FV($D$18,$A16*12,$D$16*-1)</f>
        <v>105558.91163809443</v>
      </c>
      <c r="D24" s="42">
        <f>C24*rendimento_carteira</f>
        <v>633.35346982856663</v>
      </c>
    </row>
    <row r="25" spans="1:4" ht="15.75" x14ac:dyDescent="0.25">
      <c r="B25" s="41" t="s">
        <v>9</v>
      </c>
      <c r="C25" s="7">
        <f>FV($D$18,$A17*12,$D$16*-1)</f>
        <v>306538.10778801696</v>
      </c>
      <c r="D25" s="42">
        <f>C25*rendimento_carteira</f>
        <v>1839.2286467281017</v>
      </c>
    </row>
    <row r="26" spans="1:4" ht="15.75" x14ac:dyDescent="0.25">
      <c r="B26" s="41" t="s">
        <v>6</v>
      </c>
      <c r="C26" s="7">
        <f>FV($D$18,$A18*12,$D$16*-1)</f>
        <v>1417749.9841223215</v>
      </c>
      <c r="D26" s="42">
        <f>C26*rendimento_carteira</f>
        <v>8506.4999047339297</v>
      </c>
    </row>
    <row r="27" spans="1:4" ht="16.5" thickBot="1" x14ac:dyDescent="0.3">
      <c r="B27" s="43" t="s">
        <v>10</v>
      </c>
      <c r="C27" s="44">
        <f>FV($D$18,$A19*12,$D$16*-1)</f>
        <v>5445933.7653059401</v>
      </c>
      <c r="D27" s="45">
        <f>C27*rendimento_carteira</f>
        <v>32675.602591835643</v>
      </c>
    </row>
    <row r="28" spans="1:4" ht="15.75" thickTop="1" x14ac:dyDescent="0.25"/>
    <row r="31" spans="1:4" x14ac:dyDescent="0.25">
      <c r="B31" s="54" t="s">
        <v>27</v>
      </c>
      <c r="C31" s="25" t="s">
        <v>30</v>
      </c>
      <c r="D31" s="25"/>
    </row>
    <row r="32" spans="1:4" x14ac:dyDescent="0.25">
      <c r="B32" s="55" t="s">
        <v>17</v>
      </c>
      <c r="C32" s="56">
        <f>Aporte</f>
        <v>1260</v>
      </c>
      <c r="D32" s="56"/>
    </row>
    <row r="34" spans="2:5" x14ac:dyDescent="0.25">
      <c r="B34" s="21" t="s">
        <v>18</v>
      </c>
      <c r="C34" s="21" t="s">
        <v>19</v>
      </c>
      <c r="D34" s="22" t="s">
        <v>20</v>
      </c>
    </row>
    <row r="35" spans="2:5" x14ac:dyDescent="0.25">
      <c r="B35" s="1" t="s">
        <v>21</v>
      </c>
      <c r="C35" s="46">
        <f>VLOOKUP($C$31&amp;"-"&amp;B35,'PLANILHA APOIO'!$A:$D,4,FALSE)</f>
        <v>0.3</v>
      </c>
      <c r="D35" s="3">
        <f>C35*$C$32</f>
        <v>378</v>
      </c>
    </row>
    <row r="36" spans="2:5" x14ac:dyDescent="0.25">
      <c r="B36" s="1" t="s">
        <v>22</v>
      </c>
      <c r="C36" s="46">
        <f>VLOOKUP($C$31&amp;"-"&amp;B36,'PLANILHA APOIO'!$A:$D,4,FALSE)</f>
        <v>0.5</v>
      </c>
      <c r="D36" s="3">
        <f t="shared" ref="D36:D40" si="0">C36*$C$32</f>
        <v>630</v>
      </c>
    </row>
    <row r="37" spans="2:5" x14ac:dyDescent="0.25">
      <c r="B37" s="1" t="s">
        <v>23</v>
      </c>
      <c r="C37" s="46">
        <f>VLOOKUP($C$31&amp;"-"&amp;B37,'PLANILHA APOIO'!$A:$D,4,FALSE)</f>
        <v>0.1</v>
      </c>
      <c r="D37" s="3">
        <f t="shared" si="0"/>
        <v>126</v>
      </c>
    </row>
    <row r="38" spans="2:5" x14ac:dyDescent="0.25">
      <c r="B38" s="1" t="s">
        <v>24</v>
      </c>
      <c r="C38" s="46">
        <f>VLOOKUP($C$31&amp;"-"&amp;B38,'PLANILHA APOIO'!$A:$D,4,FALSE)</f>
        <v>0.1</v>
      </c>
      <c r="D38" s="3">
        <f t="shared" si="0"/>
        <v>126</v>
      </c>
    </row>
    <row r="39" spans="2:5" x14ac:dyDescent="0.25">
      <c r="B39" s="1" t="s">
        <v>25</v>
      </c>
      <c r="C39" s="46">
        <f>VLOOKUP($C$31&amp;"-"&amp;B39,'PLANILHA APOIO'!$A:$D,4,FALSE)</f>
        <v>0</v>
      </c>
      <c r="D39" s="3">
        <f t="shared" si="0"/>
        <v>0</v>
      </c>
    </row>
    <row r="40" spans="2:5" x14ac:dyDescent="0.25">
      <c r="B40" s="1" t="s">
        <v>26</v>
      </c>
      <c r="C40" s="46">
        <f>VLOOKUP($C$31&amp;"-"&amp;B40,'PLANILHA APOIO'!$A:$D,4,FALSE)</f>
        <v>0</v>
      </c>
      <c r="D40" s="3">
        <f t="shared" si="0"/>
        <v>0</v>
      </c>
    </row>
    <row r="41" spans="2:5" x14ac:dyDescent="0.25">
      <c r="B41" s="23"/>
      <c r="C41" s="47"/>
      <c r="D41" s="60">
        <f>SUM(D35:D40)</f>
        <v>1260</v>
      </c>
      <c r="E41" s="24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</sheetData>
  <mergeCells count="13">
    <mergeCell ref="C31:D31"/>
    <mergeCell ref="C32:D32"/>
    <mergeCell ref="B22:C22"/>
    <mergeCell ref="B19:C19"/>
    <mergeCell ref="B11:C11"/>
    <mergeCell ref="B12:C12"/>
    <mergeCell ref="B18:C18"/>
    <mergeCell ref="B15:C15"/>
    <mergeCell ref="B16:C16"/>
    <mergeCell ref="B17:C17"/>
    <mergeCell ref="B20:C20"/>
    <mergeCell ref="B13:C13"/>
    <mergeCell ref="B10:C10"/>
  </mergeCells>
  <dataValidations count="1">
    <dataValidation type="list" allowBlank="1" showInputMessage="1" showErrorMessage="1" sqref="C31" xr:uid="{52D463AE-6EDA-4F51-A10D-8B59D1051807}">
      <formula1>"Conservador,Moderado,Agressivo"</formula1>
    </dataValidation>
  </dataValidations>
  <pageMargins left="0.25" right="0.25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8760-0160-4FA9-B6CA-58D44FC1430E}">
  <dimension ref="A1:H21"/>
  <sheetViews>
    <sheetView workbookViewId="0">
      <selection activeCell="A2" sqref="A2:D2"/>
    </sheetView>
  </sheetViews>
  <sheetFormatPr defaultRowHeight="15" x14ac:dyDescent="0.25"/>
  <cols>
    <col min="1" max="1" width="30.85546875" bestFit="1" customWidth="1"/>
    <col min="2" max="2" width="14.42578125" bestFit="1" customWidth="1"/>
    <col min="3" max="3" width="18.5703125" bestFit="1" customWidth="1"/>
    <col min="7" max="7" width="16.85546875" bestFit="1" customWidth="1"/>
    <col min="8" max="8" width="11.140625" bestFit="1" customWidth="1"/>
  </cols>
  <sheetData>
    <row r="1" spans="1:8" x14ac:dyDescent="0.25">
      <c r="A1" s="9"/>
    </row>
    <row r="2" spans="1:8" x14ac:dyDescent="0.25">
      <c r="A2" s="61" t="s">
        <v>29</v>
      </c>
      <c r="B2" s="62" t="s">
        <v>27</v>
      </c>
      <c r="C2" s="62" t="s">
        <v>18</v>
      </c>
      <c r="D2" s="62" t="s">
        <v>28</v>
      </c>
      <c r="H2" t="s">
        <v>28</v>
      </c>
    </row>
    <row r="3" spans="1:8" x14ac:dyDescent="0.25">
      <c r="A3" s="9" t="str">
        <f>B3&amp;"-"&amp;C3</f>
        <v>Conservador-PAPEL</v>
      </c>
      <c r="B3" t="s">
        <v>30</v>
      </c>
      <c r="C3" s="1" t="s">
        <v>21</v>
      </c>
      <c r="D3" s="46">
        <v>0.3</v>
      </c>
      <c r="G3" s="20" t="s">
        <v>33</v>
      </c>
      <c r="H3" s="50">
        <f>VLOOKUP(G3,$A:$D,4,FALSE)</f>
        <v>0.35</v>
      </c>
    </row>
    <row r="4" spans="1:8" x14ac:dyDescent="0.25">
      <c r="A4" s="9" t="str">
        <f t="shared" ref="A4:A20" si="0">B4&amp;"-"&amp;C4</f>
        <v>Conservador-TIJOLO</v>
      </c>
      <c r="B4" t="s">
        <v>30</v>
      </c>
      <c r="C4" s="1" t="s">
        <v>22</v>
      </c>
      <c r="D4" s="46">
        <v>0.5</v>
      </c>
    </row>
    <row r="5" spans="1:8" x14ac:dyDescent="0.25">
      <c r="A5" s="9" t="str">
        <f t="shared" si="0"/>
        <v>Conservador-HÍBRIDO</v>
      </c>
      <c r="B5" t="s">
        <v>30</v>
      </c>
      <c r="C5" s="1" t="s">
        <v>23</v>
      </c>
      <c r="D5" s="46">
        <v>0.1</v>
      </c>
    </row>
    <row r="6" spans="1:8" x14ac:dyDescent="0.25">
      <c r="A6" s="9" t="str">
        <f t="shared" si="0"/>
        <v>Conservador-FOFs</v>
      </c>
      <c r="B6" t="s">
        <v>30</v>
      </c>
      <c r="C6" s="1" t="s">
        <v>24</v>
      </c>
      <c r="D6" s="46">
        <v>0.1</v>
      </c>
    </row>
    <row r="7" spans="1:8" x14ac:dyDescent="0.25">
      <c r="A7" s="9" t="str">
        <f t="shared" si="0"/>
        <v>Conservador-DESENVOLVIMENTO</v>
      </c>
      <c r="B7" t="s">
        <v>30</v>
      </c>
      <c r="C7" s="1" t="s">
        <v>25</v>
      </c>
      <c r="D7" s="46">
        <v>0</v>
      </c>
    </row>
    <row r="8" spans="1:8" ht="15.75" thickBot="1" x14ac:dyDescent="0.3">
      <c r="A8" s="48" t="str">
        <f t="shared" si="0"/>
        <v>Conservador-HOTELARIAS</v>
      </c>
      <c r="B8" s="48" t="s">
        <v>30</v>
      </c>
      <c r="C8" s="49" t="s">
        <v>26</v>
      </c>
      <c r="D8" s="51">
        <v>0</v>
      </c>
    </row>
    <row r="9" spans="1:8" x14ac:dyDescent="0.25">
      <c r="A9" s="57" t="str">
        <f t="shared" si="0"/>
        <v>Moderado-PAPEL</v>
      </c>
      <c r="B9" s="9" t="s">
        <v>31</v>
      </c>
      <c r="C9" s="1" t="s">
        <v>21</v>
      </c>
      <c r="D9" s="53">
        <v>0.32</v>
      </c>
    </row>
    <row r="10" spans="1:8" x14ac:dyDescent="0.25">
      <c r="A10" s="57" t="str">
        <f t="shared" si="0"/>
        <v>Moderado-TIJOLO</v>
      </c>
      <c r="B10" s="9" t="s">
        <v>31</v>
      </c>
      <c r="C10" s="1" t="s">
        <v>22</v>
      </c>
      <c r="D10" s="52">
        <v>0.35</v>
      </c>
    </row>
    <row r="11" spans="1:8" x14ac:dyDescent="0.25">
      <c r="A11" s="57" t="str">
        <f t="shared" si="0"/>
        <v>Moderado-HÍBRIDO</v>
      </c>
      <c r="B11" s="9" t="s">
        <v>31</v>
      </c>
      <c r="C11" s="1" t="s">
        <v>23</v>
      </c>
      <c r="D11" s="52">
        <v>0.08</v>
      </c>
    </row>
    <row r="12" spans="1:8" x14ac:dyDescent="0.25">
      <c r="A12" s="57" t="str">
        <f t="shared" si="0"/>
        <v>Moderado-FOFs</v>
      </c>
      <c r="B12" s="9" t="s">
        <v>31</v>
      </c>
      <c r="C12" s="1" t="s">
        <v>24</v>
      </c>
      <c r="D12" s="52">
        <v>0.05</v>
      </c>
    </row>
    <row r="13" spans="1:8" x14ac:dyDescent="0.25">
      <c r="A13" s="57" t="str">
        <f t="shared" si="0"/>
        <v>Moderado-DESENVOLVIMENTO</v>
      </c>
      <c r="B13" s="9" t="s">
        <v>31</v>
      </c>
      <c r="C13" s="1" t="s">
        <v>25</v>
      </c>
      <c r="D13" s="52">
        <v>0.1</v>
      </c>
    </row>
    <row r="14" spans="1:8" ht="15.75" thickBot="1" x14ac:dyDescent="0.3">
      <c r="A14" s="59" t="str">
        <f t="shared" si="0"/>
        <v>Moderado-HOTELARIAS</v>
      </c>
      <c r="B14" s="48" t="s">
        <v>31</v>
      </c>
      <c r="C14" s="49" t="s">
        <v>26</v>
      </c>
      <c r="D14" s="58">
        <v>0.1</v>
      </c>
    </row>
    <row r="15" spans="1:8" x14ac:dyDescent="0.25">
      <c r="A15" s="57" t="str">
        <f t="shared" si="0"/>
        <v>Agressivo-PAPEL</v>
      </c>
      <c r="B15" s="9" t="s">
        <v>32</v>
      </c>
      <c r="C15" s="1" t="s">
        <v>21</v>
      </c>
      <c r="D15" s="53">
        <v>0.5</v>
      </c>
    </row>
    <row r="16" spans="1:8" x14ac:dyDescent="0.25">
      <c r="A16" s="57" t="str">
        <f t="shared" si="0"/>
        <v>Agressivo-TIJOLO</v>
      </c>
      <c r="B16" s="9" t="s">
        <v>32</v>
      </c>
      <c r="C16" s="1" t="s">
        <v>22</v>
      </c>
      <c r="D16" s="52">
        <v>0.1</v>
      </c>
    </row>
    <row r="17" spans="1:4" x14ac:dyDescent="0.25">
      <c r="A17" s="57" t="str">
        <f t="shared" si="0"/>
        <v>Agressivo-HÍBRIDO</v>
      </c>
      <c r="B17" s="9" t="s">
        <v>32</v>
      </c>
      <c r="C17" s="1" t="s">
        <v>23</v>
      </c>
      <c r="D17" s="52">
        <v>0.05</v>
      </c>
    </row>
    <row r="18" spans="1:4" x14ac:dyDescent="0.25">
      <c r="A18" s="57" t="str">
        <f t="shared" si="0"/>
        <v>Agressivo-FOFs</v>
      </c>
      <c r="B18" s="9" t="s">
        <v>32</v>
      </c>
      <c r="C18" s="1" t="s">
        <v>24</v>
      </c>
      <c r="D18" s="52">
        <v>0.05</v>
      </c>
    </row>
    <row r="19" spans="1:4" x14ac:dyDescent="0.25">
      <c r="A19" s="57" t="str">
        <f t="shared" si="0"/>
        <v>Agressivo-DESENVOLVIMENTO</v>
      </c>
      <c r="B19" s="9" t="s">
        <v>32</v>
      </c>
      <c r="C19" s="1" t="s">
        <v>25</v>
      </c>
      <c r="D19" s="52">
        <v>0.2</v>
      </c>
    </row>
    <row r="20" spans="1:4" ht="15.75" thickBot="1" x14ac:dyDescent="0.3">
      <c r="A20" s="57" t="str">
        <f t="shared" si="0"/>
        <v>Agressivo-HOTELARIAS</v>
      </c>
      <c r="B20" s="9" t="s">
        <v>32</v>
      </c>
      <c r="C20" s="49" t="s">
        <v>26</v>
      </c>
      <c r="D20" s="46">
        <v>0.1</v>
      </c>
    </row>
    <row r="21" spans="1:4" x14ac:dyDescent="0.25">
      <c r="C21" s="1"/>
      <c r="D21" s="5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 CONTROLE FINANCEIRO</vt:lpstr>
      <vt:lpstr>PLANILHA APOIO</vt:lpstr>
      <vt:lpstr>Aporte</vt:lpstr>
      <vt:lpstr>dividendo_mesal</vt:lpstr>
      <vt:lpstr>patrimonio</vt:lpstr>
      <vt:lpstr>quantidade_anos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jhonatas freitas</dc:creator>
  <cp:lastModifiedBy>jhonatas freitas</cp:lastModifiedBy>
  <cp:lastPrinted>2026-09-16T12:05:24Z</cp:lastPrinted>
  <dcterms:created xsi:type="dcterms:W3CDTF">2026-09-14T15:29:58Z</dcterms:created>
  <dcterms:modified xsi:type="dcterms:W3CDTF">2026-09-16T12:55:25Z</dcterms:modified>
</cp:coreProperties>
</file>